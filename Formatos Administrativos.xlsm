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o\Reporte c-macros\"/>
    </mc:Choice>
  </mc:AlternateContent>
  <xr:revisionPtr revIDLastSave="0" documentId="13_ncr:1_{ED7D460D-3034-4F0B-A309-EAE547054D88}" xr6:coauthVersionLast="47" xr6:coauthVersionMax="47" xr10:uidLastSave="{00000000-0000-0000-0000-000000000000}"/>
  <bookViews>
    <workbookView xWindow="-28920" yWindow="-120" windowWidth="29040" windowHeight="15840" activeTab="1" xr2:uid="{00000000-000D-0000-FFFF-FFFF00000000}"/>
  </bookViews>
  <sheets>
    <sheet name="Hoja calculos" sheetId="3" r:id="rId1"/>
    <sheet name="Reporte impresion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8" i="3" l="1"/>
  <c r="M29" i="3"/>
  <c r="M30" i="3"/>
  <c r="M31" i="3"/>
  <c r="M32" i="3"/>
  <c r="H28" i="3"/>
  <c r="I28" i="3"/>
  <c r="J28" i="3"/>
  <c r="K28" i="3"/>
  <c r="N28" i="3" s="1"/>
  <c r="H29" i="3"/>
  <c r="I29" i="3"/>
  <c r="J29" i="3"/>
  <c r="K29" i="3"/>
  <c r="N29" i="3" s="1"/>
  <c r="H30" i="3"/>
  <c r="I30" i="3"/>
  <c r="J30" i="3"/>
  <c r="K30" i="3"/>
  <c r="N30" i="3" s="1"/>
  <c r="H31" i="3"/>
  <c r="I31" i="3"/>
  <c r="J31" i="3"/>
  <c r="K31" i="3"/>
  <c r="N31" i="3" s="1"/>
  <c r="H32" i="3"/>
  <c r="I32" i="3"/>
  <c r="J32" i="3"/>
  <c r="K32" i="3"/>
  <c r="N32" i="3" s="1"/>
  <c r="G28" i="3"/>
  <c r="G29" i="3"/>
  <c r="G30" i="3"/>
  <c r="G31" i="3"/>
  <c r="G32" i="3"/>
  <c r="F28" i="3"/>
  <c r="F29" i="3"/>
  <c r="F30" i="3"/>
  <c r="F31" i="3"/>
  <c r="F32" i="3"/>
  <c r="M24" i="3" l="1"/>
  <c r="M25" i="3"/>
  <c r="M26" i="3"/>
  <c r="M27" i="3"/>
  <c r="M23" i="3"/>
  <c r="K27" i="3" l="1"/>
  <c r="N27" i="3" s="1"/>
  <c r="J27" i="3"/>
  <c r="I27" i="3"/>
  <c r="H27" i="3"/>
  <c r="G27" i="3"/>
  <c r="F27" i="3"/>
  <c r="F23" i="3" l="1"/>
  <c r="G23" i="3"/>
  <c r="J23" i="3"/>
  <c r="K26" i="3"/>
  <c r="N26" i="3" s="1"/>
  <c r="J26" i="3"/>
  <c r="I26" i="3"/>
  <c r="H26" i="3"/>
  <c r="G26" i="3"/>
  <c r="F26" i="3"/>
  <c r="K25" i="3"/>
  <c r="N25" i="3" s="1"/>
  <c r="J25" i="3"/>
  <c r="I25" i="3"/>
  <c r="H25" i="3"/>
  <c r="G25" i="3"/>
  <c r="F25" i="3"/>
  <c r="K24" i="3"/>
  <c r="N24" i="3" s="1"/>
  <c r="J24" i="3"/>
  <c r="I24" i="3"/>
  <c r="H24" i="3"/>
  <c r="G24" i="3"/>
  <c r="F24" i="3"/>
  <c r="K23" i="3"/>
  <c r="N23" i="3" s="1"/>
  <c r="I23" i="3"/>
  <c r="H23" i="3"/>
  <c r="S25" i="3" l="1"/>
  <c r="R25" i="3"/>
  <c r="U25" i="3" l="1"/>
  <c r="Q25" i="3"/>
  <c r="P28" i="3" s="1"/>
  <c r="Q28" i="3" s="1"/>
  <c r="T25" i="3"/>
  <c r="P25" i="3"/>
</calcChain>
</file>

<file path=xl/sharedStrings.xml><?xml version="1.0" encoding="utf-8"?>
<sst xmlns="http://schemas.openxmlformats.org/spreadsheetml/2006/main" count="92" uniqueCount="66">
  <si>
    <t>Tiempo</t>
  </si>
  <si>
    <t>ID</t>
  </si>
  <si>
    <t>Nombre</t>
  </si>
  <si>
    <t>Apellido</t>
  </si>
  <si>
    <t>Nombre de Departamento</t>
  </si>
  <si>
    <t>DIA</t>
  </si>
  <si>
    <t>Hora</t>
  </si>
  <si>
    <t>Minuto</t>
  </si>
  <si>
    <t>Retardo A</t>
  </si>
  <si>
    <t>Retardo B</t>
  </si>
  <si>
    <t>11-20 min</t>
  </si>
  <si>
    <t>21-30 min</t>
  </si>
  <si>
    <t>Faltas</t>
  </si>
  <si>
    <t>31 en adelante</t>
  </si>
  <si>
    <t>Asis. Normal</t>
  </si>
  <si>
    <t>0-10 min tolerancia</t>
  </si>
  <si>
    <t>Docentes</t>
  </si>
  <si>
    <t>Administrativos</t>
  </si>
  <si>
    <t>SI(L31="Out",SI(K31&gt;=55,"Salida Temprana",SI(K31&lt;=20,"Salida aun permitida","Salida prohibida")),SI(K31&lt;=10,"Asistencia Normal",SI(K31&lt;=20,"Retardo A",SI(K31&lt;=30,"Retardo B","Falta"))))</t>
  </si>
  <si>
    <t>SI(L31="Out",SI(K31&gt;=40,"Salida Temprana",SI(K31&lt;=20,"Salida aun permitida","Salida prohibida")),SI(K31&lt;=10,"Asistencia Normal",SI(K31&lt;=20,"Retardo A",SI(K31&lt;=30,"Retardo B","Falta"))))</t>
  </si>
  <si>
    <t>Salida Temprana</t>
  </si>
  <si>
    <t>Salida Aun permitida</t>
  </si>
  <si>
    <t>5 min antes de la hora</t>
  </si>
  <si>
    <t>20 min despues de la hora</t>
  </si>
  <si>
    <t>Notas Malas</t>
  </si>
  <si>
    <t>Dias de suspensión</t>
  </si>
  <si>
    <t>Reporte del</t>
  </si>
  <si>
    <t>al</t>
  </si>
  <si>
    <t>Hora de impresion:</t>
  </si>
  <si>
    <t>Fecha de impresion:</t>
  </si>
  <si>
    <t>RFC:</t>
  </si>
  <si>
    <t>HORARIO</t>
  </si>
  <si>
    <t>Lunes</t>
  </si>
  <si>
    <t>Martes</t>
  </si>
  <si>
    <t>Miercoles</t>
  </si>
  <si>
    <t>Jueves</t>
  </si>
  <si>
    <t>Viernes</t>
  </si>
  <si>
    <t>Sabado</t>
  </si>
  <si>
    <t>Dias</t>
  </si>
  <si>
    <t>Fecha</t>
  </si>
  <si>
    <t>Retardo</t>
  </si>
  <si>
    <t>Horario</t>
  </si>
  <si>
    <t>Min.</t>
  </si>
  <si>
    <t>Tipo</t>
  </si>
  <si>
    <t>Just</t>
  </si>
  <si>
    <t>Causa</t>
  </si>
  <si>
    <t>HorasXFalta</t>
  </si>
  <si>
    <t>MES</t>
  </si>
  <si>
    <t>AÑO</t>
  </si>
  <si>
    <t>Domingo</t>
  </si>
  <si>
    <t>N</t>
  </si>
  <si>
    <t>S</t>
  </si>
  <si>
    <t>Falta</t>
  </si>
  <si>
    <t>E</t>
  </si>
  <si>
    <t>A</t>
  </si>
  <si>
    <t>B</t>
  </si>
  <si>
    <t>C</t>
  </si>
  <si>
    <t>2021-07-12 13:12:52</t>
  </si>
  <si>
    <t>2021-07-12 13:12:46</t>
  </si>
  <si>
    <t>2021-07-12 13:12:44</t>
  </si>
  <si>
    <t>2021-07-12 13:01:16</t>
  </si>
  <si>
    <t>Palabra Buscar</t>
  </si>
  <si>
    <t>EnSa</t>
  </si>
  <si>
    <t>No.Trb:</t>
  </si>
  <si>
    <t>Nomb:</t>
  </si>
  <si>
    <t>derivado de la supervisiòn efectuada recientemenete se le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</si>
</sst>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$-F400]h:mm:ss\ AM/PM"/>
    <numFmt numFmtId="166" formatCode="h:mm:ss;@"/>
  </numFmts>
  <fonts count="9" x14ac:knownFonts="1">
    <font>
      <sz val="10"/>
      <name val="Arial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i/>
      <sz val="8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1" xfId="0" applyBorder="1" applyAlignment="1">
      <alignment horizontal="center" wrapText="1"/>
    </xf>
    <xf numFmtId="0" fontId="0" fillId="0" borderId="2" xfId="0" applyBorder="1"/>
    <xf numFmtId="0" fontId="0" fillId="0" borderId="0" xfId="0" quotePrefix="1"/>
    <xf numFmtId="0" fontId="1" fillId="0" borderId="0" xfId="0" applyFont="1"/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0" xfId="0" applyFont="1"/>
    <xf numFmtId="0" fontId="0" fillId="0" borderId="2" xfId="0" applyFont="1" applyBorder="1" applyAlignment="1">
      <alignment horizontal="center"/>
    </xf>
    <xf numFmtId="165" fontId="0" fillId="0" borderId="2" xfId="0" applyNumberFormat="1" applyBorder="1"/>
    <xf numFmtId="0" fontId="0" fillId="2" borderId="2" xfId="0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quotePrefix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6" xfId="0" applyBorder="1"/>
    <xf numFmtId="14" fontId="0" fillId="0" borderId="2" xfId="0" applyNumberForma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" fontId="2" fillId="0" borderId="0" xfId="0" applyNumberFormat="1" applyFont="1"/>
    <xf numFmtId="166" fontId="2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2" xfId="0" applyFont="1" applyBorder="1"/>
    <xf numFmtId="0" fontId="4" fillId="0" borderId="0" xfId="0" applyFont="1" applyFill="1" applyBorder="1"/>
    <xf numFmtId="0" fontId="5" fillId="0" borderId="4" xfId="0" applyFont="1" applyFill="1" applyBorder="1" applyAlignment="1">
      <alignment horizontal="center" wrapText="1"/>
    </xf>
    <xf numFmtId="0" fontId="5" fillId="0" borderId="4" xfId="0" applyFont="1" applyFill="1" applyBorder="1" applyAlignment="1">
      <alignment horizontal="center" vertical="center" wrapText="1"/>
    </xf>
    <xf numFmtId="166" fontId="4" fillId="0" borderId="0" xfId="0" applyNumberFormat="1" applyFont="1" applyFill="1" applyBorder="1"/>
    <xf numFmtId="165" fontId="4" fillId="0" borderId="0" xfId="0" applyNumberFormat="1" applyFont="1" applyFill="1" applyBorder="1"/>
    <xf numFmtId="166" fontId="4" fillId="0" borderId="0" xfId="0" applyNumberFormat="1" applyFont="1"/>
    <xf numFmtId="165" fontId="4" fillId="0" borderId="0" xfId="0" applyNumberFormat="1" applyFont="1"/>
    <xf numFmtId="0" fontId="4" fillId="0" borderId="7" xfId="0" applyFont="1" applyBorder="1"/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wrapText="1"/>
    </xf>
    <xf numFmtId="166" fontId="6" fillId="0" borderId="0" xfId="0" applyNumberFormat="1" applyFont="1" applyFill="1" applyBorder="1"/>
    <xf numFmtId="0" fontId="5" fillId="0" borderId="4" xfId="0" applyFont="1" applyFill="1" applyBorder="1" applyAlignment="1">
      <alignment wrapText="1"/>
    </xf>
    <xf numFmtId="0" fontId="3" fillId="0" borderId="0" xfId="0" applyFont="1"/>
    <xf numFmtId="0" fontId="2" fillId="0" borderId="0" xfId="0" applyFont="1" applyFill="1" applyBorder="1"/>
    <xf numFmtId="2" fontId="2" fillId="0" borderId="0" xfId="0" applyNumberFormat="1" applyFont="1"/>
    <xf numFmtId="0" fontId="0" fillId="0" borderId="1" xfId="0" applyNumberFormat="1" applyFill="1" applyBorder="1" applyAlignment="1">
      <alignment horizontal="center" wrapText="1"/>
    </xf>
    <xf numFmtId="166" fontId="1" fillId="0" borderId="0" xfId="0" applyNumberFormat="1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7" fillId="0" borderId="0" xfId="0" applyFont="1" applyFill="1" applyBorder="1"/>
    <xf numFmtId="0" fontId="7" fillId="0" borderId="0" xfId="0" applyFont="1"/>
    <xf numFmtId="22" fontId="7" fillId="0" borderId="0" xfId="0" applyNumberFormat="1" applyFont="1"/>
    <xf numFmtId="22" fontId="4" fillId="0" borderId="0" xfId="0" applyNumberFormat="1" applyFont="1" applyFill="1" applyBorder="1"/>
    <xf numFmtId="22" fontId="4" fillId="0" borderId="0" xfId="0" applyNumberFormat="1" applyFont="1"/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4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</xdr:colOff>
          <xdr:row>14</xdr:row>
          <xdr:rowOff>99060</xdr:rowOff>
        </xdr:from>
        <xdr:to>
          <xdr:col>13</xdr:col>
          <xdr:colOff>1333500</xdr:colOff>
          <xdr:row>16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A89A-915D-480F-8821-CA47A3C614D9}">
  <sheetPr codeName="Hoja1"/>
  <dimension ref="A2:X61"/>
  <sheetViews>
    <sheetView zoomScale="70" zoomScaleNormal="70" workbookViewId="0">
      <selection activeCell="P33" sqref="P33"/>
    </sheetView>
  </sheetViews>
  <sheetFormatPr baseColWidth="10" defaultColWidth="9.109375" defaultRowHeight="13.2" x14ac:dyDescent="0.25"/>
  <cols>
    <col min="1" max="1" width="23.109375" bestFit="1" customWidth="1"/>
    <col min="2" max="2" width="6" customWidth="1"/>
    <col min="3" max="3" width="8.33203125" bestFit="1" customWidth="1"/>
    <col min="4" max="4" width="17.88671875" bestFit="1" customWidth="1"/>
    <col min="5" max="5" width="19.5546875" customWidth="1"/>
    <col min="6" max="6" width="13.109375" customWidth="1"/>
    <col min="7" max="7" width="7.88671875" bestFit="1" customWidth="1"/>
    <col min="8" max="8" width="9.33203125" bestFit="1" customWidth="1"/>
    <col min="9" max="9" width="4.5546875" bestFit="1" customWidth="1"/>
    <col min="10" max="10" width="5.6640625" bestFit="1" customWidth="1"/>
    <col min="11" max="11" width="7.44140625" bestFit="1" customWidth="1"/>
    <col min="12" max="12" width="11.5546875" style="10" bestFit="1" customWidth="1"/>
    <col min="13" max="13" width="18" style="47" bestFit="1" customWidth="1"/>
    <col min="14" max="14" width="20.109375" style="10" customWidth="1"/>
    <col min="15" max="15" width="12.5546875" customWidth="1"/>
    <col min="16" max="16" width="17.109375" bestFit="1" customWidth="1"/>
    <col min="17" max="17" width="20.5546875" customWidth="1"/>
    <col min="18" max="18" width="19" bestFit="1" customWidth="1"/>
    <col min="19" max="19" width="13.109375" bestFit="1" customWidth="1"/>
    <col min="20" max="20" width="19.6640625" bestFit="1" customWidth="1"/>
    <col min="21" max="21" width="23.44140625" bestFit="1" customWidth="1"/>
    <col min="22" max="22" width="24.88671875" bestFit="1" customWidth="1"/>
    <col min="23" max="23" width="13" customWidth="1"/>
  </cols>
  <sheetData>
    <row r="2" spans="1:8" x14ac:dyDescent="0.25">
      <c r="A2" s="2"/>
      <c r="B2" s="66" t="s">
        <v>38</v>
      </c>
      <c r="C2" s="66"/>
      <c r="D2" s="66"/>
      <c r="E2" s="66"/>
      <c r="F2" s="66"/>
      <c r="G2" s="66"/>
      <c r="H2" s="2"/>
    </row>
    <row r="3" spans="1:8" x14ac:dyDescent="0.25">
      <c r="A3" s="13" t="s">
        <v>31</v>
      </c>
      <c r="B3" s="13" t="s">
        <v>32</v>
      </c>
      <c r="C3" s="13" t="s">
        <v>33</v>
      </c>
      <c r="D3" s="13" t="s">
        <v>34</v>
      </c>
      <c r="E3" s="13" t="s">
        <v>35</v>
      </c>
      <c r="F3" s="13" t="s">
        <v>36</v>
      </c>
      <c r="G3" s="13" t="s">
        <v>37</v>
      </c>
      <c r="H3" s="20" t="s">
        <v>49</v>
      </c>
    </row>
    <row r="4" spans="1:8" x14ac:dyDescent="0.25">
      <c r="A4" s="21">
        <v>0.29166666666666669</v>
      </c>
      <c r="B4" s="22"/>
      <c r="C4" s="2"/>
      <c r="D4" s="2"/>
      <c r="E4" s="2"/>
      <c r="F4" s="2"/>
      <c r="G4" s="2"/>
      <c r="H4" s="2"/>
    </row>
    <row r="5" spans="1:8" x14ac:dyDescent="0.25">
      <c r="A5" s="21">
        <v>0.33333333333333298</v>
      </c>
      <c r="B5" s="22"/>
      <c r="C5" s="2"/>
      <c r="D5" s="2"/>
      <c r="E5" s="22"/>
      <c r="F5" s="2"/>
      <c r="G5" s="2"/>
      <c r="H5" s="2"/>
    </row>
    <row r="6" spans="1:8" x14ac:dyDescent="0.25">
      <c r="A6" s="21">
        <v>0.374999999999999</v>
      </c>
      <c r="B6" s="2"/>
      <c r="C6" s="2"/>
      <c r="D6" s="2"/>
      <c r="E6" s="22"/>
      <c r="F6" s="2"/>
      <c r="G6" s="2"/>
      <c r="H6" s="2"/>
    </row>
    <row r="7" spans="1:8" x14ac:dyDescent="0.25">
      <c r="A7" s="21">
        <v>0.41666666666666602</v>
      </c>
      <c r="B7" s="2"/>
      <c r="C7" s="2"/>
      <c r="D7" s="2"/>
      <c r="E7" s="22"/>
      <c r="F7" s="2"/>
      <c r="G7" s="2"/>
      <c r="H7" s="2"/>
    </row>
    <row r="8" spans="1:8" x14ac:dyDescent="0.25">
      <c r="A8" s="21">
        <v>0.45833333333333198</v>
      </c>
      <c r="B8" s="2"/>
      <c r="C8" s="22"/>
      <c r="D8" s="2"/>
      <c r="E8" s="2"/>
      <c r="F8" s="2"/>
      <c r="G8" s="2"/>
      <c r="H8" s="2"/>
    </row>
    <row r="9" spans="1:8" x14ac:dyDescent="0.25">
      <c r="A9" s="21">
        <v>0.499999999999998</v>
      </c>
      <c r="B9" s="2"/>
      <c r="C9" s="22"/>
      <c r="D9" s="2"/>
      <c r="E9" s="2"/>
      <c r="F9" s="2"/>
      <c r="G9" s="2"/>
      <c r="H9" s="2"/>
    </row>
    <row r="10" spans="1:8" x14ac:dyDescent="0.25">
      <c r="A10" s="21">
        <v>0.54166666666666496</v>
      </c>
      <c r="B10" s="2"/>
      <c r="C10" s="2"/>
      <c r="D10" s="22"/>
      <c r="E10" s="2"/>
      <c r="F10" s="2"/>
      <c r="G10" s="2"/>
      <c r="H10" s="2"/>
    </row>
    <row r="11" spans="1:8" x14ac:dyDescent="0.25">
      <c r="A11" s="21">
        <v>0.58333333333333104</v>
      </c>
      <c r="B11" s="2"/>
      <c r="C11" s="2"/>
      <c r="D11" s="22"/>
      <c r="E11" s="2"/>
      <c r="F11" s="2"/>
      <c r="G11" s="2"/>
      <c r="H11" s="2"/>
    </row>
    <row r="12" spans="1:8" x14ac:dyDescent="0.25">
      <c r="A12" s="21">
        <v>0.624999999999997</v>
      </c>
      <c r="B12" s="2"/>
      <c r="C12" s="2"/>
      <c r="D12" s="22"/>
      <c r="E12" s="2"/>
      <c r="F12" s="2"/>
      <c r="G12" s="2"/>
      <c r="H12" s="2"/>
    </row>
    <row r="13" spans="1:8" x14ac:dyDescent="0.25">
      <c r="A13" s="21">
        <v>0.66666666666666397</v>
      </c>
      <c r="B13" s="2"/>
      <c r="C13" s="2"/>
      <c r="D13" s="22"/>
      <c r="E13" s="2"/>
      <c r="F13" s="2"/>
      <c r="G13" s="2"/>
      <c r="H13" s="2"/>
    </row>
    <row r="14" spans="1:8" x14ac:dyDescent="0.25">
      <c r="A14" s="21">
        <v>0.70833333333333004</v>
      </c>
      <c r="B14" s="2"/>
      <c r="C14" s="2"/>
      <c r="D14" s="2"/>
      <c r="E14" s="2"/>
      <c r="F14" s="22"/>
      <c r="G14" s="2"/>
      <c r="H14" s="2"/>
    </row>
    <row r="15" spans="1:8" x14ac:dyDescent="0.25">
      <c r="A15" s="21">
        <v>0.749999999999996</v>
      </c>
      <c r="B15" s="2"/>
      <c r="C15" s="2"/>
      <c r="D15" s="2"/>
      <c r="E15" s="2"/>
      <c r="F15" s="22"/>
      <c r="G15" s="2"/>
      <c r="H15" s="2"/>
    </row>
    <row r="16" spans="1:8" x14ac:dyDescent="0.25">
      <c r="A16" s="21">
        <v>0.79166666666666297</v>
      </c>
      <c r="B16" s="2"/>
      <c r="C16" s="2"/>
      <c r="D16" s="2"/>
      <c r="E16" s="2"/>
      <c r="F16" s="2"/>
      <c r="G16" s="2"/>
      <c r="H16" s="2"/>
    </row>
    <row r="17" spans="1:21" ht="13.8" thickBot="1" x14ac:dyDescent="0.3">
      <c r="A17" s="21">
        <v>0.83333333333332904</v>
      </c>
      <c r="B17" s="2"/>
      <c r="C17" s="2"/>
      <c r="D17" s="2"/>
      <c r="E17" s="2"/>
      <c r="F17" s="2"/>
      <c r="G17" s="2"/>
      <c r="H17" s="2"/>
    </row>
    <row r="18" spans="1:21" ht="13.8" thickBot="1" x14ac:dyDescent="0.3">
      <c r="A18" s="21">
        <v>0.874999999999995</v>
      </c>
      <c r="B18" s="2"/>
      <c r="C18" s="2"/>
      <c r="D18" s="2"/>
      <c r="E18" s="2"/>
      <c r="F18" s="2"/>
      <c r="G18" s="2"/>
      <c r="H18" s="2"/>
      <c r="M18" s="58" t="s">
        <v>61</v>
      </c>
      <c r="N18" s="60" t="s">
        <v>40</v>
      </c>
    </row>
    <row r="19" spans="1:21" x14ac:dyDescent="0.25">
      <c r="A19" s="21">
        <v>0.91666666666666097</v>
      </c>
      <c r="B19" s="2"/>
      <c r="C19" s="2"/>
      <c r="D19" s="2"/>
      <c r="E19" s="2"/>
      <c r="F19" s="2"/>
      <c r="G19" s="2"/>
      <c r="H19" s="2"/>
      <c r="N19" s="25"/>
    </row>
    <row r="20" spans="1:21" x14ac:dyDescent="0.25">
      <c r="N20" s="11" t="s">
        <v>53</v>
      </c>
    </row>
    <row r="21" spans="1:21" x14ac:dyDescent="0.25">
      <c r="L21" s="12"/>
      <c r="M21" s="48"/>
      <c r="N21" s="11" t="s">
        <v>51</v>
      </c>
      <c r="O21" s="4"/>
    </row>
    <row r="22" spans="1:21" ht="41.25" customHeight="1" x14ac:dyDescent="0.25">
      <c r="A22" s="51" t="s">
        <v>0</v>
      </c>
      <c r="B22" s="1" t="s">
        <v>1</v>
      </c>
      <c r="C22" s="1" t="s">
        <v>2</v>
      </c>
      <c r="D22" s="1" t="s">
        <v>3</v>
      </c>
      <c r="E22" s="17" t="s">
        <v>4</v>
      </c>
      <c r="F22" s="18" t="s">
        <v>39</v>
      </c>
      <c r="G22" s="18" t="s">
        <v>48</v>
      </c>
      <c r="H22" s="18" t="s">
        <v>47</v>
      </c>
      <c r="I22" s="7" t="s">
        <v>5</v>
      </c>
      <c r="J22" s="7" t="s">
        <v>6</v>
      </c>
      <c r="K22" s="7" t="s">
        <v>7</v>
      </c>
      <c r="L22" s="23" t="s">
        <v>62</v>
      </c>
      <c r="M22" s="49" t="s">
        <v>39</v>
      </c>
      <c r="N22" s="59" t="s">
        <v>40</v>
      </c>
      <c r="O22" s="4"/>
    </row>
    <row r="23" spans="1:21" x14ac:dyDescent="0.25">
      <c r="A23" s="51" t="s">
        <v>57</v>
      </c>
      <c r="B23" s="1"/>
      <c r="C23" s="1"/>
      <c r="D23" s="1"/>
      <c r="E23" s="17"/>
      <c r="F23" s="27" t="str">
        <f t="shared" ref="F23:F32" si="0">TEXT(A23,"ddd")</f>
        <v>lun</v>
      </c>
      <c r="G23" s="28">
        <f>YEAR(A23)</f>
        <v>2021</v>
      </c>
      <c r="H23" s="28">
        <f t="shared" ref="H23:H27" si="1">MONTH(A23)</f>
        <v>7</v>
      </c>
      <c r="I23" s="26">
        <f t="shared" ref="I23:I27" si="2">DAY(A23)</f>
        <v>12</v>
      </c>
      <c r="J23" s="2">
        <f t="shared" ref="J23:J27" si="3">HOUR(A23)</f>
        <v>13</v>
      </c>
      <c r="K23" s="2">
        <f t="shared" ref="K23:K27" si="4">MINUTE(A23)</f>
        <v>12</v>
      </c>
      <c r="L23" s="6" t="s">
        <v>53</v>
      </c>
      <c r="M23" s="50" t="str">
        <f>A23</f>
        <v>2021-07-12 13:12:52</v>
      </c>
      <c r="N23" s="24" t="str">
        <f>IF(L23="S",IF(K23&gt;=55,"Salida Temprana",IF(K23&lt;=20,"Salida aun permitida","Salida prohibida")),IF(K23&lt;=10,"Asistencia Normal",IF(K23&lt;=20,"Retardo A",IF(K23&lt;=30,"Retardo B","Falta"))))</f>
        <v>Retardo A</v>
      </c>
      <c r="P23" s="6" t="s">
        <v>15</v>
      </c>
      <c r="Q23" s="6" t="s">
        <v>10</v>
      </c>
      <c r="R23" s="6" t="s">
        <v>11</v>
      </c>
      <c r="S23" s="6" t="s">
        <v>13</v>
      </c>
      <c r="T23" s="5" t="s">
        <v>22</v>
      </c>
      <c r="U23" s="5" t="s">
        <v>23</v>
      </c>
    </row>
    <row r="24" spans="1:21" x14ac:dyDescent="0.25">
      <c r="A24" s="51" t="s">
        <v>58</v>
      </c>
      <c r="B24" s="1"/>
      <c r="C24" s="1"/>
      <c r="D24" s="1"/>
      <c r="E24" s="17"/>
      <c r="F24" s="27" t="str">
        <f t="shared" si="0"/>
        <v>lun</v>
      </c>
      <c r="G24" s="28">
        <f t="shared" ref="G24:G26" si="5">YEAR(A24)</f>
        <v>2021</v>
      </c>
      <c r="H24" s="28">
        <f t="shared" si="1"/>
        <v>7</v>
      </c>
      <c r="I24" s="26">
        <f t="shared" si="2"/>
        <v>12</v>
      </c>
      <c r="J24" s="2">
        <f t="shared" si="3"/>
        <v>13</v>
      </c>
      <c r="K24" s="2">
        <f t="shared" si="4"/>
        <v>12</v>
      </c>
      <c r="L24" s="6" t="s">
        <v>53</v>
      </c>
      <c r="M24" s="50" t="str">
        <f t="shared" ref="M24:M32" si="6">A24</f>
        <v>2021-07-12 13:12:46</v>
      </c>
      <c r="N24" s="24" t="str">
        <f t="shared" ref="N24:N32" si="7">IF(L24="S",IF(K24&gt;=55,"Salida Temprana",IF(K24&lt;=20,"Salida aun permitida","Salida prohibida")),IF(K24&lt;=10,"Asistencia Normal",IF(K24&lt;=20,"Retardo A",IF(K24&lt;=30,"Retardo B","Falta"))))</f>
        <v>Retardo A</v>
      </c>
      <c r="P24" s="6" t="s">
        <v>14</v>
      </c>
      <c r="Q24" s="7" t="s">
        <v>8</v>
      </c>
      <c r="R24" s="7" t="s">
        <v>9</v>
      </c>
      <c r="S24" s="7" t="s">
        <v>12</v>
      </c>
      <c r="T24" s="8" t="s">
        <v>20</v>
      </c>
      <c r="U24" s="5" t="s">
        <v>21</v>
      </c>
    </row>
    <row r="25" spans="1:21" x14ac:dyDescent="0.25">
      <c r="A25" s="51" t="s">
        <v>59</v>
      </c>
      <c r="B25" s="1"/>
      <c r="C25" s="1"/>
      <c r="D25" s="1"/>
      <c r="E25" s="17"/>
      <c r="F25" s="27" t="str">
        <f t="shared" si="0"/>
        <v>lun</v>
      </c>
      <c r="G25" s="28">
        <f t="shared" si="5"/>
        <v>2021</v>
      </c>
      <c r="H25" s="28">
        <f t="shared" si="1"/>
        <v>7</v>
      </c>
      <c r="I25" s="26">
        <f t="shared" si="2"/>
        <v>12</v>
      </c>
      <c r="J25" s="2">
        <f t="shared" si="3"/>
        <v>13</v>
      </c>
      <c r="K25" s="2">
        <f t="shared" si="4"/>
        <v>12</v>
      </c>
      <c r="L25" s="6" t="s">
        <v>53</v>
      </c>
      <c r="M25" s="50" t="str">
        <f t="shared" si="6"/>
        <v>2021-07-12 13:12:44</v>
      </c>
      <c r="N25" s="24" t="str">
        <f t="shared" si="7"/>
        <v>Retardo A</v>
      </c>
      <c r="P25">
        <f>COUNTIF(N23:N61,"Asistencia Normal")</f>
        <v>1</v>
      </c>
      <c r="Q25" s="3">
        <f>COUNTIF(N23:N61,"Retardo A")</f>
        <v>6</v>
      </c>
      <c r="R25">
        <f>COUNTIF(N23:N61,"Retardo B")</f>
        <v>0</v>
      </c>
      <c r="S25">
        <f>COUNTIF(N23:N61,"Falta")</f>
        <v>0</v>
      </c>
      <c r="T25">
        <f>COUNTIF(N23:N61,"Salida Temprana")</f>
        <v>0</v>
      </c>
      <c r="U25">
        <f>COUNTIF(N23:N61,"Salida aun permitida")</f>
        <v>3</v>
      </c>
    </row>
    <row r="26" spans="1:21" x14ac:dyDescent="0.25">
      <c r="A26" s="51" t="s">
        <v>59</v>
      </c>
      <c r="B26" s="1"/>
      <c r="C26" s="1"/>
      <c r="D26" s="1"/>
      <c r="E26" s="17"/>
      <c r="F26" s="27" t="str">
        <f t="shared" si="0"/>
        <v>lun</v>
      </c>
      <c r="G26" s="28">
        <f t="shared" si="5"/>
        <v>2021</v>
      </c>
      <c r="H26" s="28">
        <f t="shared" si="1"/>
        <v>7</v>
      </c>
      <c r="I26" s="26">
        <f t="shared" si="2"/>
        <v>12</v>
      </c>
      <c r="J26" s="2">
        <f t="shared" si="3"/>
        <v>13</v>
      </c>
      <c r="K26" s="2">
        <f t="shared" si="4"/>
        <v>12</v>
      </c>
      <c r="L26" s="6" t="s">
        <v>53</v>
      </c>
      <c r="M26" s="50" t="str">
        <f t="shared" si="6"/>
        <v>2021-07-12 13:12:44</v>
      </c>
      <c r="N26" s="24" t="str">
        <f t="shared" si="7"/>
        <v>Retardo A</v>
      </c>
    </row>
    <row r="27" spans="1:21" x14ac:dyDescent="0.25">
      <c r="A27" s="51" t="s">
        <v>60</v>
      </c>
      <c r="B27" s="1"/>
      <c r="C27" s="1"/>
      <c r="D27" s="1"/>
      <c r="E27" s="17"/>
      <c r="F27" s="27" t="str">
        <f t="shared" si="0"/>
        <v>lun</v>
      </c>
      <c r="G27" s="28">
        <f>YEAR(A27)</f>
        <v>2021</v>
      </c>
      <c r="H27" s="28">
        <f t="shared" si="1"/>
        <v>7</v>
      </c>
      <c r="I27" s="26">
        <f t="shared" si="2"/>
        <v>12</v>
      </c>
      <c r="J27" s="2">
        <f t="shared" si="3"/>
        <v>13</v>
      </c>
      <c r="K27" s="2">
        <f t="shared" si="4"/>
        <v>1</v>
      </c>
      <c r="L27" s="6" t="s">
        <v>53</v>
      </c>
      <c r="M27" s="50" t="str">
        <f t="shared" si="6"/>
        <v>2021-07-12 13:01:16</v>
      </c>
      <c r="N27" s="24" t="str">
        <f t="shared" si="7"/>
        <v>Asistencia Normal</v>
      </c>
      <c r="P27" s="5" t="s">
        <v>24</v>
      </c>
      <c r="Q27" s="5" t="s">
        <v>25</v>
      </c>
    </row>
    <row r="28" spans="1:21" x14ac:dyDescent="0.25">
      <c r="A28" s="51" t="s">
        <v>57</v>
      </c>
      <c r="B28" s="1"/>
      <c r="C28" s="1"/>
      <c r="D28" s="1"/>
      <c r="E28" s="17"/>
      <c r="F28" s="27" t="str">
        <f t="shared" si="0"/>
        <v>lun</v>
      </c>
      <c r="G28" s="28">
        <f t="shared" ref="G28:G32" si="8">YEAR(A28)</f>
        <v>2021</v>
      </c>
      <c r="H28" s="28">
        <f t="shared" ref="H28:H32" si="9">MONTH(A28)</f>
        <v>7</v>
      </c>
      <c r="I28" s="26">
        <f t="shared" ref="I28:I32" si="10">DAY(A28)</f>
        <v>12</v>
      </c>
      <c r="J28" s="2">
        <f t="shared" ref="J28:J32" si="11">HOUR(A28)</f>
        <v>13</v>
      </c>
      <c r="K28" s="2">
        <f t="shared" ref="K28:K32" si="12">MINUTE(A28)</f>
        <v>12</v>
      </c>
      <c r="L28" s="6" t="s">
        <v>51</v>
      </c>
      <c r="M28" s="50" t="str">
        <f t="shared" si="6"/>
        <v>2021-07-12 13:12:52</v>
      </c>
      <c r="N28" s="24" t="str">
        <f t="shared" si="7"/>
        <v>Salida aun permitida</v>
      </c>
      <c r="P28" s="9">
        <f>INT(R25+(Q25/2))</f>
        <v>3</v>
      </c>
      <c r="Q28">
        <f>INT(P28/5)</f>
        <v>0</v>
      </c>
    </row>
    <row r="29" spans="1:21" x14ac:dyDescent="0.25">
      <c r="A29" s="51" t="s">
        <v>58</v>
      </c>
      <c r="B29" s="1"/>
      <c r="C29" s="1"/>
      <c r="D29" s="1"/>
      <c r="E29" s="17"/>
      <c r="F29" s="27" t="str">
        <f t="shared" si="0"/>
        <v>lun</v>
      </c>
      <c r="G29" s="28">
        <f t="shared" si="8"/>
        <v>2021</v>
      </c>
      <c r="H29" s="28">
        <f t="shared" si="9"/>
        <v>7</v>
      </c>
      <c r="I29" s="26">
        <f t="shared" si="10"/>
        <v>12</v>
      </c>
      <c r="J29" s="2">
        <f t="shared" si="11"/>
        <v>13</v>
      </c>
      <c r="K29" s="2">
        <f t="shared" si="12"/>
        <v>12</v>
      </c>
      <c r="L29" s="6" t="s">
        <v>53</v>
      </c>
      <c r="M29" s="50" t="str">
        <f t="shared" si="6"/>
        <v>2021-07-12 13:12:46</v>
      </c>
      <c r="N29" s="24" t="str">
        <f t="shared" si="7"/>
        <v>Retardo A</v>
      </c>
    </row>
    <row r="30" spans="1:21" x14ac:dyDescent="0.25">
      <c r="A30" s="51" t="s">
        <v>59</v>
      </c>
      <c r="B30" s="1"/>
      <c r="C30" s="1"/>
      <c r="D30" s="1"/>
      <c r="E30" s="17"/>
      <c r="F30" s="27" t="str">
        <f t="shared" si="0"/>
        <v>lun</v>
      </c>
      <c r="G30" s="28">
        <f t="shared" si="8"/>
        <v>2021</v>
      </c>
      <c r="H30" s="28">
        <f t="shared" si="9"/>
        <v>7</v>
      </c>
      <c r="I30" s="26">
        <f t="shared" si="10"/>
        <v>12</v>
      </c>
      <c r="J30" s="2">
        <f t="shared" si="11"/>
        <v>13</v>
      </c>
      <c r="K30" s="2">
        <f t="shared" si="12"/>
        <v>12</v>
      </c>
      <c r="L30" s="6" t="s">
        <v>51</v>
      </c>
      <c r="M30" s="50" t="str">
        <f t="shared" si="6"/>
        <v>2021-07-12 13:12:44</v>
      </c>
      <c r="N30" s="24" t="str">
        <f t="shared" si="7"/>
        <v>Salida aun permitida</v>
      </c>
    </row>
    <row r="31" spans="1:21" x14ac:dyDescent="0.25">
      <c r="A31" s="51" t="s">
        <v>59</v>
      </c>
      <c r="B31" s="1"/>
      <c r="C31" s="1"/>
      <c r="D31" s="1"/>
      <c r="E31" s="17"/>
      <c r="F31" s="27" t="str">
        <f t="shared" si="0"/>
        <v>lun</v>
      </c>
      <c r="G31" s="28">
        <f t="shared" si="8"/>
        <v>2021</v>
      </c>
      <c r="H31" s="28">
        <f t="shared" si="9"/>
        <v>7</v>
      </c>
      <c r="I31" s="26">
        <f t="shared" si="10"/>
        <v>12</v>
      </c>
      <c r="J31" s="2">
        <f t="shared" si="11"/>
        <v>13</v>
      </c>
      <c r="K31" s="2">
        <f t="shared" si="12"/>
        <v>12</v>
      </c>
      <c r="L31" s="6" t="s">
        <v>53</v>
      </c>
      <c r="M31" s="50" t="str">
        <f t="shared" si="6"/>
        <v>2021-07-12 13:12:44</v>
      </c>
      <c r="N31" s="24" t="str">
        <f t="shared" si="7"/>
        <v>Retardo A</v>
      </c>
    </row>
    <row r="32" spans="1:21" x14ac:dyDescent="0.25">
      <c r="A32" s="51" t="s">
        <v>60</v>
      </c>
      <c r="B32" s="1"/>
      <c r="C32" s="1"/>
      <c r="D32" s="1"/>
      <c r="E32" s="17"/>
      <c r="F32" s="27" t="str">
        <f t="shared" si="0"/>
        <v>lun</v>
      </c>
      <c r="G32" s="28">
        <f t="shared" si="8"/>
        <v>2021</v>
      </c>
      <c r="H32" s="28">
        <f t="shared" si="9"/>
        <v>7</v>
      </c>
      <c r="I32" s="26">
        <f t="shared" si="10"/>
        <v>12</v>
      </c>
      <c r="J32" s="2">
        <f t="shared" si="11"/>
        <v>13</v>
      </c>
      <c r="K32" s="2">
        <f t="shared" si="12"/>
        <v>1</v>
      </c>
      <c r="L32" s="6" t="s">
        <v>51</v>
      </c>
      <c r="M32" s="50" t="str">
        <f t="shared" si="6"/>
        <v>2021-07-12 13:01:16</v>
      </c>
      <c r="N32" s="24" t="str">
        <f t="shared" si="7"/>
        <v>Salida aun permitida</v>
      </c>
    </row>
    <row r="33" spans="1:24" x14ac:dyDescent="0.25">
      <c r="A33" s="51"/>
      <c r="B33" s="1"/>
      <c r="C33" s="1"/>
      <c r="D33" s="1"/>
      <c r="E33" s="17"/>
      <c r="F33" s="27"/>
      <c r="G33" s="28"/>
      <c r="H33" s="28"/>
      <c r="I33" s="26"/>
      <c r="J33" s="2"/>
      <c r="K33" s="2"/>
      <c r="L33" s="6"/>
      <c r="M33" s="50"/>
      <c r="N33" s="24"/>
      <c r="Q33" s="4"/>
    </row>
    <row r="34" spans="1:24" x14ac:dyDescent="0.25">
      <c r="A34" s="51"/>
      <c r="B34" s="1"/>
      <c r="C34" s="1"/>
      <c r="D34" s="1"/>
      <c r="E34" s="17"/>
      <c r="F34" s="27"/>
      <c r="G34" s="28"/>
      <c r="H34" s="28"/>
      <c r="I34" s="26"/>
      <c r="J34" s="2"/>
      <c r="K34" s="2"/>
      <c r="L34" s="6"/>
      <c r="M34" s="50"/>
      <c r="N34" s="24"/>
    </row>
    <row r="35" spans="1:24" x14ac:dyDescent="0.25">
      <c r="A35" s="57"/>
      <c r="B35" s="1"/>
      <c r="C35" s="1"/>
      <c r="D35" s="1"/>
      <c r="E35" s="17"/>
      <c r="F35" s="27"/>
      <c r="G35" s="28"/>
      <c r="H35" s="28"/>
      <c r="I35" s="26"/>
      <c r="J35" s="2"/>
      <c r="K35" s="2"/>
      <c r="L35" s="6"/>
      <c r="M35" s="50"/>
      <c r="N35" s="24"/>
    </row>
    <row r="36" spans="1:24" x14ac:dyDescent="0.25">
      <c r="A36" s="57"/>
      <c r="B36" s="1"/>
      <c r="C36" s="1"/>
      <c r="D36" s="1"/>
      <c r="E36" s="17"/>
      <c r="F36" s="27"/>
      <c r="G36" s="28"/>
      <c r="H36" s="28"/>
      <c r="I36" s="26"/>
      <c r="J36" s="2"/>
      <c r="K36" s="2"/>
      <c r="L36" s="6"/>
      <c r="M36" s="50"/>
      <c r="N36" s="24"/>
    </row>
    <row r="37" spans="1:24" x14ac:dyDescent="0.25">
      <c r="A37" s="57"/>
      <c r="B37" s="1"/>
      <c r="C37" s="1"/>
      <c r="D37" s="1"/>
      <c r="E37" s="17"/>
      <c r="F37" s="27"/>
      <c r="G37" s="28"/>
      <c r="H37" s="28"/>
      <c r="I37" s="26"/>
      <c r="J37" s="2"/>
      <c r="K37" s="2"/>
      <c r="L37" s="6"/>
      <c r="M37" s="50"/>
      <c r="N37" s="24"/>
    </row>
    <row r="38" spans="1:24" x14ac:dyDescent="0.25">
      <c r="A38" s="57"/>
      <c r="B38" s="1"/>
      <c r="C38" s="1"/>
      <c r="D38" s="1"/>
      <c r="E38" s="17"/>
      <c r="F38" s="27"/>
      <c r="G38" s="28"/>
      <c r="H38" s="28"/>
      <c r="I38" s="26"/>
      <c r="J38" s="2"/>
      <c r="K38" s="2"/>
      <c r="L38" s="6"/>
      <c r="M38" s="50"/>
      <c r="N38" s="24"/>
    </row>
    <row r="39" spans="1:24" x14ac:dyDescent="0.25">
      <c r="A39" s="57"/>
      <c r="B39" s="1"/>
      <c r="C39" s="1"/>
      <c r="D39" s="1"/>
      <c r="E39" s="17"/>
      <c r="F39" s="27"/>
      <c r="G39" s="28"/>
      <c r="H39" s="28"/>
      <c r="I39" s="26"/>
      <c r="J39" s="2"/>
      <c r="K39" s="2"/>
      <c r="L39" s="6"/>
      <c r="M39" s="50"/>
      <c r="N39" s="24"/>
    </row>
    <row r="40" spans="1:24" x14ac:dyDescent="0.25">
      <c r="A40" s="57"/>
      <c r="B40" s="1"/>
      <c r="C40" s="1"/>
      <c r="D40" s="1"/>
      <c r="E40" s="17"/>
      <c r="F40" s="27"/>
      <c r="G40" s="28"/>
      <c r="H40" s="28"/>
      <c r="I40" s="26"/>
      <c r="J40" s="2"/>
      <c r="K40" s="2"/>
      <c r="L40" s="6"/>
      <c r="M40" s="50"/>
      <c r="N40" s="24"/>
    </row>
    <row r="41" spans="1:24" x14ac:dyDescent="0.25">
      <c r="A41" s="57"/>
      <c r="B41" s="1"/>
      <c r="C41" s="1"/>
      <c r="D41" s="1"/>
      <c r="E41" s="17"/>
      <c r="F41" s="27"/>
      <c r="G41" s="28"/>
      <c r="H41" s="28"/>
      <c r="I41" s="26"/>
      <c r="J41" s="2"/>
      <c r="K41" s="2"/>
      <c r="L41" s="6"/>
      <c r="M41" s="50"/>
      <c r="N41" s="24"/>
    </row>
    <row r="42" spans="1:24" x14ac:dyDescent="0.25">
      <c r="A42" s="57"/>
      <c r="B42" s="1"/>
      <c r="C42" s="1"/>
      <c r="D42" s="1"/>
      <c r="E42" s="17"/>
      <c r="F42" s="27"/>
      <c r="G42" s="28"/>
      <c r="H42" s="28"/>
      <c r="I42" s="26"/>
      <c r="J42" s="2"/>
      <c r="K42" s="2"/>
      <c r="L42" s="6"/>
      <c r="M42" s="50"/>
      <c r="N42" s="24"/>
    </row>
    <row r="43" spans="1:24" x14ac:dyDescent="0.25">
      <c r="A43" s="57"/>
      <c r="B43" s="1"/>
      <c r="C43" s="1"/>
      <c r="D43" s="1"/>
      <c r="E43" s="17"/>
      <c r="F43" s="27"/>
      <c r="G43" s="28"/>
      <c r="H43" s="28"/>
      <c r="I43" s="26"/>
      <c r="J43" s="2"/>
      <c r="K43" s="2"/>
      <c r="L43" s="6"/>
      <c r="M43" s="50"/>
      <c r="N43" s="24"/>
      <c r="Q43" s="19" t="s">
        <v>18</v>
      </c>
    </row>
    <row r="44" spans="1:24" x14ac:dyDescent="0.25">
      <c r="A44" s="57"/>
      <c r="B44" s="1"/>
      <c r="C44" s="1"/>
      <c r="D44" s="1"/>
      <c r="E44" s="17"/>
      <c r="F44" s="27"/>
      <c r="G44" s="28"/>
      <c r="H44" s="28"/>
      <c r="I44" s="26"/>
      <c r="J44" s="2"/>
      <c r="K44" s="2"/>
      <c r="L44" s="6"/>
      <c r="M44" s="50"/>
      <c r="N44" s="24"/>
      <c r="P44" s="19" t="s">
        <v>16</v>
      </c>
      <c r="Q44" s="19"/>
    </row>
    <row r="45" spans="1:24" x14ac:dyDescent="0.25">
      <c r="A45" s="57"/>
      <c r="B45" s="1"/>
      <c r="C45" s="1"/>
      <c r="D45" s="1"/>
      <c r="E45" s="17"/>
      <c r="F45" s="27"/>
      <c r="G45" s="28"/>
      <c r="H45" s="28"/>
      <c r="I45" s="26"/>
      <c r="J45" s="2"/>
      <c r="K45" s="2"/>
      <c r="L45" s="6"/>
      <c r="M45" s="50"/>
      <c r="N45" s="24"/>
      <c r="P45" s="19"/>
      <c r="Q45" s="19"/>
    </row>
    <row r="46" spans="1:24" x14ac:dyDescent="0.25">
      <c r="A46" s="57"/>
      <c r="B46" s="1"/>
      <c r="C46" s="1"/>
      <c r="D46" s="1"/>
      <c r="E46" s="17"/>
      <c r="F46" s="27"/>
      <c r="G46" s="28"/>
      <c r="H46" s="28"/>
      <c r="I46" s="26"/>
      <c r="J46" s="2"/>
      <c r="K46" s="2"/>
      <c r="L46" s="6"/>
      <c r="M46" s="50"/>
      <c r="N46" s="24"/>
      <c r="P46" s="19" t="s">
        <v>17</v>
      </c>
      <c r="Q46" s="19" t="s">
        <v>19</v>
      </c>
    </row>
    <row r="47" spans="1:24" x14ac:dyDescent="0.25">
      <c r="A47" s="57"/>
      <c r="B47" s="1"/>
      <c r="C47" s="1"/>
      <c r="D47" s="1"/>
      <c r="E47" s="17"/>
      <c r="F47" s="27"/>
      <c r="G47" s="28"/>
      <c r="H47" s="28"/>
      <c r="I47" s="26"/>
      <c r="J47" s="2"/>
      <c r="K47" s="2"/>
      <c r="L47" s="6"/>
      <c r="M47" s="50"/>
      <c r="N47" s="24"/>
    </row>
    <row r="48" spans="1:24" x14ac:dyDescent="0.25">
      <c r="A48" s="57"/>
      <c r="B48" s="1"/>
      <c r="C48" s="1"/>
      <c r="D48" s="1"/>
      <c r="E48" s="17"/>
      <c r="F48" s="27"/>
      <c r="G48" s="28"/>
      <c r="H48" s="28"/>
      <c r="I48" s="26"/>
      <c r="J48" s="2"/>
      <c r="K48" s="2"/>
      <c r="L48" s="6"/>
      <c r="M48" s="50"/>
      <c r="N48" s="24"/>
      <c r="V48" s="14"/>
      <c r="W48" s="14"/>
      <c r="X48" s="14"/>
    </row>
    <row r="49" spans="1:24" x14ac:dyDescent="0.25">
      <c r="A49" s="57"/>
      <c r="B49" s="1"/>
      <c r="C49" s="1"/>
      <c r="D49" s="1"/>
      <c r="E49" s="17"/>
      <c r="F49" s="27"/>
      <c r="G49" s="28"/>
      <c r="H49" s="28"/>
      <c r="I49" s="26"/>
      <c r="J49" s="2"/>
      <c r="K49" s="2"/>
      <c r="L49" s="6"/>
      <c r="M49" s="50"/>
      <c r="N49" s="24"/>
      <c r="V49" s="14"/>
      <c r="W49" s="15"/>
      <c r="X49" s="14"/>
    </row>
    <row r="50" spans="1:24" x14ac:dyDescent="0.25">
      <c r="A50" s="57"/>
      <c r="B50" s="1"/>
      <c r="C50" s="1"/>
      <c r="D50" s="1"/>
      <c r="E50" s="17"/>
      <c r="F50" s="27"/>
      <c r="G50" s="28"/>
      <c r="H50" s="28"/>
      <c r="I50" s="26"/>
      <c r="J50" s="2"/>
      <c r="K50" s="2"/>
      <c r="L50" s="6"/>
      <c r="M50" s="50"/>
      <c r="N50" s="24"/>
      <c r="V50" s="14"/>
      <c r="W50" s="16"/>
      <c r="X50" s="14"/>
    </row>
    <row r="51" spans="1:24" x14ac:dyDescent="0.25">
      <c r="A51" s="57"/>
      <c r="B51" s="1"/>
      <c r="C51" s="1"/>
      <c r="D51" s="1"/>
      <c r="E51" s="17"/>
      <c r="F51" s="27"/>
      <c r="G51" s="28"/>
      <c r="H51" s="28"/>
      <c r="I51" s="26"/>
      <c r="J51" s="2"/>
      <c r="K51" s="2"/>
      <c r="L51" s="6"/>
      <c r="M51" s="50"/>
      <c r="N51" s="24"/>
      <c r="V51" s="14"/>
      <c r="W51" s="14"/>
      <c r="X51" s="14"/>
    </row>
    <row r="52" spans="1:24" x14ac:dyDescent="0.25">
      <c r="F52" s="14"/>
      <c r="G52" s="14"/>
      <c r="H52" s="14"/>
      <c r="V52" s="14"/>
      <c r="W52" s="14"/>
      <c r="X52" s="14"/>
    </row>
    <row r="61" spans="1:24" x14ac:dyDescent="0.25">
      <c r="A61" s="4"/>
    </row>
  </sheetData>
  <mergeCells count="1">
    <mergeCell ref="B2:G2"/>
  </mergeCells>
  <dataValidations count="2">
    <dataValidation type="list" allowBlank="1" showInputMessage="1" showErrorMessage="1" sqref="L51" xr:uid="{9DF788C7-7001-4B49-A74D-6CD5823DFD9C}">
      <formula1>$N$21:$N$21</formula1>
    </dataValidation>
    <dataValidation type="list" allowBlank="1" showInputMessage="1" showErrorMessage="1" sqref="L23:L50" xr:uid="{51B11643-8D4C-45FA-B639-7B007E5F893E}">
      <formula1>$N$20:$N$21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erirDatosOtraHoja">
                <anchor moveWithCells="1" sizeWithCells="1">
                  <from>
                    <xdr:col>13</xdr:col>
                    <xdr:colOff>30480</xdr:colOff>
                    <xdr:row>14</xdr:row>
                    <xdr:rowOff>99060</xdr:rowOff>
                  </from>
                  <to>
                    <xdr:col>13</xdr:col>
                    <xdr:colOff>1333500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44"/>
  <sheetViews>
    <sheetView tabSelected="1" zoomScale="90" zoomScaleNormal="90" workbookViewId="0">
      <selection activeCell="M40" sqref="M40"/>
    </sheetView>
  </sheetViews>
  <sheetFormatPr baseColWidth="10" defaultRowHeight="13.2" x14ac:dyDescent="0.25"/>
  <cols>
    <col min="1" max="1" width="6.44140625" bestFit="1" customWidth="1"/>
    <col min="2" max="2" width="13" bestFit="1" customWidth="1"/>
    <col min="3" max="3" width="8.109375" customWidth="1"/>
    <col min="4" max="4" width="7.33203125" customWidth="1"/>
    <col min="5" max="5" width="7.44140625" bestFit="1" customWidth="1"/>
    <col min="6" max="6" width="5" bestFit="1" customWidth="1"/>
    <col min="7" max="7" width="8.33203125" customWidth="1"/>
    <col min="8" max="8" width="4.88671875" customWidth="1"/>
    <col min="9" max="9" width="5" bestFit="1" customWidth="1"/>
    <col min="10" max="10" width="10.44140625" customWidth="1"/>
    <col min="11" max="11" width="10.109375" customWidth="1"/>
    <col min="13" max="14" width="13" bestFit="1" customWidth="1"/>
  </cols>
  <sheetData>
    <row r="1" spans="1:18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19"/>
      <c r="M1" s="19"/>
      <c r="N1" s="19"/>
      <c r="O1" s="19"/>
      <c r="P1" s="19"/>
      <c r="Q1" s="19"/>
      <c r="R1" s="19"/>
    </row>
    <row r="2" spans="1:18" x14ac:dyDescent="0.2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19" t="s">
        <v>53</v>
      </c>
      <c r="M2" s="19" t="s">
        <v>52</v>
      </c>
      <c r="N2" s="19" t="s">
        <v>54</v>
      </c>
      <c r="O2" s="19"/>
      <c r="P2" s="19"/>
      <c r="Q2" s="19"/>
      <c r="R2" s="19"/>
    </row>
    <row r="3" spans="1:18" x14ac:dyDescent="0.25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19" t="s">
        <v>51</v>
      </c>
      <c r="M3" s="19" t="s">
        <v>8</v>
      </c>
      <c r="N3" s="19" t="s">
        <v>55</v>
      </c>
      <c r="O3" s="19"/>
      <c r="P3" s="19"/>
      <c r="Q3" s="19"/>
      <c r="R3" s="19"/>
    </row>
    <row r="4" spans="1:18" x14ac:dyDescent="0.25">
      <c r="A4" s="31"/>
      <c r="B4" s="31"/>
      <c r="C4" s="32" t="s">
        <v>26</v>
      </c>
      <c r="D4" s="46"/>
      <c r="E4" s="32" t="s">
        <v>27</v>
      </c>
      <c r="F4" s="43"/>
      <c r="H4" s="45"/>
      <c r="I4" s="42" t="s">
        <v>29</v>
      </c>
      <c r="J4" s="44"/>
      <c r="K4" s="33"/>
      <c r="L4" s="19"/>
      <c r="M4" s="19" t="s">
        <v>9</v>
      </c>
      <c r="N4" s="19" t="s">
        <v>56</v>
      </c>
      <c r="O4" s="19"/>
      <c r="P4" s="19"/>
      <c r="Q4" s="19"/>
      <c r="R4" s="19"/>
    </row>
    <row r="5" spans="1:18" x14ac:dyDescent="0.25">
      <c r="A5" s="31"/>
      <c r="B5" s="31"/>
      <c r="C5" s="31"/>
      <c r="D5" s="31"/>
      <c r="E5" s="31"/>
      <c r="F5" s="31"/>
      <c r="H5" s="31"/>
      <c r="I5" s="42" t="s">
        <v>28</v>
      </c>
      <c r="J5" s="42"/>
      <c r="K5" s="33"/>
      <c r="L5" s="19"/>
      <c r="M5" s="19"/>
      <c r="N5" s="19"/>
      <c r="O5" s="19"/>
      <c r="P5" s="19"/>
      <c r="Q5" s="19"/>
      <c r="R5" s="19"/>
    </row>
    <row r="6" spans="1:18" x14ac:dyDescent="0.25">
      <c r="A6" s="32" t="s">
        <v>30</v>
      </c>
      <c r="B6" s="72"/>
      <c r="C6" s="72"/>
      <c r="D6" s="31"/>
      <c r="E6" s="31"/>
      <c r="F6" s="31"/>
      <c r="G6" s="31"/>
      <c r="H6" s="31"/>
      <c r="I6" s="31"/>
      <c r="J6" s="31"/>
      <c r="K6" s="31"/>
      <c r="L6" s="19"/>
      <c r="M6" s="19"/>
      <c r="N6" s="19"/>
      <c r="O6" s="19"/>
      <c r="P6" s="19"/>
      <c r="Q6" s="19"/>
      <c r="R6" s="19"/>
    </row>
    <row r="7" spans="1:18" x14ac:dyDescent="0.25">
      <c r="A7" s="32" t="s">
        <v>63</v>
      </c>
      <c r="B7" s="72"/>
      <c r="C7" s="72"/>
      <c r="D7" s="31"/>
      <c r="E7" s="31"/>
      <c r="F7" s="31"/>
      <c r="G7" s="31"/>
      <c r="H7" s="31"/>
      <c r="I7" s="31"/>
      <c r="J7" s="31"/>
      <c r="K7" s="31"/>
      <c r="L7" s="19"/>
      <c r="M7" s="19" t="s">
        <v>50</v>
      </c>
      <c r="N7" s="19"/>
      <c r="O7" s="19"/>
      <c r="P7" s="19"/>
      <c r="Q7" s="19"/>
      <c r="R7" s="19"/>
    </row>
    <row r="8" spans="1:18" x14ac:dyDescent="0.25">
      <c r="A8" s="32" t="s">
        <v>64</v>
      </c>
      <c r="B8" s="72"/>
      <c r="C8" s="72"/>
      <c r="D8" s="31"/>
      <c r="E8" s="31"/>
      <c r="F8" s="31"/>
      <c r="G8" s="31"/>
      <c r="H8" s="31"/>
      <c r="I8" s="31"/>
      <c r="J8" s="31"/>
      <c r="K8" s="31"/>
      <c r="L8" s="19"/>
      <c r="M8" s="19" t="s">
        <v>51</v>
      </c>
      <c r="N8" s="19"/>
      <c r="O8" s="19"/>
      <c r="P8" s="19"/>
      <c r="Q8" s="19"/>
      <c r="R8" s="19"/>
    </row>
    <row r="9" spans="1:18" ht="10.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55"/>
      <c r="M9" s="19"/>
      <c r="N9" s="29">
        <v>0</v>
      </c>
      <c r="O9" s="19"/>
      <c r="P9" s="19"/>
      <c r="Q9" s="19"/>
      <c r="R9" s="19"/>
    </row>
    <row r="10" spans="1:18" ht="23.25" customHeight="1" thickBot="1" x14ac:dyDescent="0.3">
      <c r="A10" s="35" t="s">
        <v>62</v>
      </c>
      <c r="B10" s="53" t="s">
        <v>39</v>
      </c>
      <c r="C10" s="53" t="s">
        <v>40</v>
      </c>
      <c r="D10" s="71" t="s">
        <v>41</v>
      </c>
      <c r="E10" s="71"/>
      <c r="F10" s="35" t="s">
        <v>42</v>
      </c>
      <c r="G10" s="71" t="s">
        <v>43</v>
      </c>
      <c r="H10" s="71"/>
      <c r="I10" s="35" t="s">
        <v>44</v>
      </c>
      <c r="J10" s="36" t="s">
        <v>45</v>
      </c>
      <c r="K10" s="36" t="s">
        <v>46</v>
      </c>
      <c r="L10" s="55"/>
      <c r="M10" s="30">
        <v>0.29166666666666669</v>
      </c>
      <c r="N10" s="29">
        <v>1</v>
      </c>
      <c r="O10" s="19"/>
      <c r="P10" s="19"/>
      <c r="Q10" s="19"/>
      <c r="R10" s="19"/>
    </row>
    <row r="11" spans="1:18" x14ac:dyDescent="0.25">
      <c r="A11" s="34"/>
      <c r="B11" s="64"/>
      <c r="C11" s="34"/>
      <c r="D11" s="37"/>
      <c r="E11" s="37"/>
      <c r="F11" s="34"/>
      <c r="G11" s="34"/>
      <c r="H11" s="34"/>
      <c r="I11" s="34"/>
      <c r="J11" s="34"/>
      <c r="K11" s="34"/>
      <c r="L11" s="55"/>
      <c r="M11" s="30">
        <v>0.33333333333333298</v>
      </c>
      <c r="N11" s="29">
        <v>2</v>
      </c>
      <c r="O11" s="19"/>
      <c r="P11" s="19"/>
      <c r="Q11" s="19"/>
      <c r="R11" s="19"/>
    </row>
    <row r="12" spans="1:18" x14ac:dyDescent="0.25">
      <c r="A12" s="34"/>
      <c r="B12" s="64"/>
      <c r="C12" s="34"/>
      <c r="D12" s="37"/>
      <c r="E12" s="37"/>
      <c r="F12" s="34"/>
      <c r="G12" s="34"/>
      <c r="H12" s="34"/>
      <c r="I12" s="34"/>
      <c r="J12" s="34"/>
      <c r="K12" s="34"/>
      <c r="L12" s="55"/>
      <c r="M12" s="30">
        <v>0.375</v>
      </c>
      <c r="N12" s="29">
        <v>3</v>
      </c>
      <c r="O12" s="19"/>
      <c r="P12" s="19"/>
      <c r="Q12" s="19"/>
      <c r="R12" s="19"/>
    </row>
    <row r="13" spans="1:18" x14ac:dyDescent="0.25">
      <c r="A13" s="34"/>
      <c r="B13" s="65"/>
      <c r="C13" s="34"/>
      <c r="D13" s="37"/>
      <c r="E13" s="37"/>
      <c r="F13" s="31"/>
      <c r="G13" s="34"/>
      <c r="H13" s="31"/>
      <c r="I13" s="34"/>
      <c r="J13" s="31"/>
      <c r="K13" s="34"/>
      <c r="L13" s="19"/>
      <c r="M13" s="30">
        <v>0.41666666666666702</v>
      </c>
      <c r="N13" s="29">
        <v>4</v>
      </c>
      <c r="O13" s="19"/>
      <c r="P13" s="19"/>
      <c r="Q13" s="19"/>
      <c r="R13" s="19"/>
    </row>
    <row r="14" spans="1:18" x14ac:dyDescent="0.25">
      <c r="A14" s="34"/>
      <c r="B14" s="65"/>
      <c r="C14" s="34"/>
      <c r="D14" s="37"/>
      <c r="E14" s="37"/>
      <c r="F14" s="31"/>
      <c r="G14" s="34"/>
      <c r="H14" s="31"/>
      <c r="I14" s="34"/>
      <c r="J14" s="31"/>
      <c r="K14" s="34"/>
      <c r="L14" s="19"/>
      <c r="M14" s="30">
        <v>0.45833333333333298</v>
      </c>
      <c r="N14" s="29">
        <v>5</v>
      </c>
      <c r="O14" s="19"/>
      <c r="P14" s="19"/>
      <c r="Q14" s="19"/>
      <c r="R14" s="19"/>
    </row>
    <row r="15" spans="1:18" x14ac:dyDescent="0.25">
      <c r="A15" s="34"/>
      <c r="B15" s="65"/>
      <c r="C15" s="34"/>
      <c r="D15" s="37"/>
      <c r="E15" s="37"/>
      <c r="F15" s="31"/>
      <c r="G15" s="34"/>
      <c r="H15" s="31"/>
      <c r="I15" s="34"/>
      <c r="J15" s="31"/>
      <c r="K15" s="34"/>
      <c r="L15" s="19"/>
      <c r="M15" s="30">
        <v>0.5</v>
      </c>
      <c r="N15" s="29">
        <v>6</v>
      </c>
      <c r="O15" s="19"/>
      <c r="P15" s="19"/>
      <c r="Q15" s="19"/>
      <c r="R15" s="19"/>
    </row>
    <row r="16" spans="1:18" x14ac:dyDescent="0.25">
      <c r="A16" s="34"/>
      <c r="B16" s="65"/>
      <c r="C16" s="34"/>
      <c r="D16" s="52"/>
      <c r="E16" s="37"/>
      <c r="F16" s="31"/>
      <c r="G16" s="34"/>
      <c r="H16" s="31"/>
      <c r="I16" s="34"/>
      <c r="J16" s="31"/>
      <c r="K16" s="34"/>
      <c r="L16" s="19"/>
      <c r="M16" s="30">
        <v>0.54166666666666696</v>
      </c>
      <c r="N16" s="29">
        <v>7</v>
      </c>
      <c r="O16" s="19"/>
      <c r="P16" s="19"/>
      <c r="Q16" s="19"/>
      <c r="R16" s="19"/>
    </row>
    <row r="17" spans="1:18" x14ac:dyDescent="0.25">
      <c r="A17" s="34"/>
      <c r="B17" s="65"/>
      <c r="C17" s="34"/>
      <c r="D17" s="37"/>
      <c r="E17" s="37"/>
      <c r="F17" s="31"/>
      <c r="G17" s="34"/>
      <c r="H17" s="31"/>
      <c r="I17" s="34"/>
      <c r="J17" s="31"/>
      <c r="K17" s="34"/>
      <c r="L17" s="19"/>
      <c r="M17" s="30">
        <v>0.58333333333333304</v>
      </c>
      <c r="N17" s="29">
        <v>8</v>
      </c>
      <c r="O17" s="19"/>
      <c r="P17" s="19"/>
      <c r="Q17" s="19"/>
      <c r="R17" s="19"/>
    </row>
    <row r="18" spans="1:18" x14ac:dyDescent="0.25">
      <c r="A18" s="34"/>
      <c r="B18" s="65"/>
      <c r="C18" s="34"/>
      <c r="D18" s="37"/>
      <c r="E18" s="37"/>
      <c r="F18" s="31"/>
      <c r="G18" s="34"/>
      <c r="H18" s="31"/>
      <c r="I18" s="34"/>
      <c r="J18" s="31"/>
      <c r="K18" s="34"/>
      <c r="L18" s="19"/>
      <c r="M18" s="30">
        <v>0.625</v>
      </c>
      <c r="N18" s="29">
        <v>9</v>
      </c>
      <c r="O18" s="19"/>
      <c r="P18" s="19"/>
      <c r="Q18" s="19"/>
      <c r="R18" s="19"/>
    </row>
    <row r="19" spans="1:18" x14ac:dyDescent="0.25">
      <c r="A19" s="61"/>
      <c r="B19" s="63"/>
      <c r="C19" s="61"/>
      <c r="D19" s="37"/>
      <c r="E19" s="37"/>
      <c r="F19" s="31"/>
      <c r="G19" s="34"/>
      <c r="H19" s="31"/>
      <c r="I19" s="34"/>
      <c r="J19" s="31"/>
      <c r="K19" s="34"/>
      <c r="L19" s="19"/>
      <c r="M19" s="30">
        <v>0.66666666666666696</v>
      </c>
      <c r="N19" s="29">
        <v>10</v>
      </c>
      <c r="O19" s="19"/>
      <c r="P19" s="19"/>
      <c r="Q19" s="19"/>
      <c r="R19" s="19"/>
    </row>
    <row r="20" spans="1:18" x14ac:dyDescent="0.25">
      <c r="A20" s="61"/>
      <c r="B20" s="63"/>
      <c r="C20" s="61"/>
      <c r="D20" s="37"/>
      <c r="E20" s="37"/>
      <c r="F20" s="31"/>
      <c r="G20" s="34"/>
      <c r="H20" s="31"/>
      <c r="I20" s="34"/>
      <c r="J20" s="31"/>
      <c r="K20" s="34"/>
      <c r="L20" s="19"/>
      <c r="M20" s="30">
        <v>0.70833333333333304</v>
      </c>
      <c r="N20" s="29"/>
      <c r="O20" s="19"/>
      <c r="P20" s="19"/>
      <c r="Q20" s="19"/>
      <c r="R20" s="19"/>
    </row>
    <row r="21" spans="1:18" x14ac:dyDescent="0.25">
      <c r="A21" s="61"/>
      <c r="B21" s="63"/>
      <c r="C21" s="61"/>
      <c r="D21" s="37"/>
      <c r="E21" s="37"/>
      <c r="F21" s="31"/>
      <c r="G21" s="34"/>
      <c r="H21" s="31"/>
      <c r="I21" s="34"/>
      <c r="J21" s="31"/>
      <c r="K21" s="34"/>
      <c r="L21" s="19"/>
      <c r="M21" s="30">
        <v>0.75</v>
      </c>
      <c r="N21" s="56"/>
      <c r="O21" s="19"/>
      <c r="P21" s="19"/>
      <c r="Q21" s="19"/>
      <c r="R21" s="19"/>
    </row>
    <row r="22" spans="1:18" x14ac:dyDescent="0.25">
      <c r="A22" s="61"/>
      <c r="B22" s="63"/>
      <c r="C22" s="61"/>
      <c r="D22" s="37"/>
      <c r="E22" s="37"/>
      <c r="F22" s="31"/>
      <c r="G22" s="34"/>
      <c r="H22" s="31"/>
      <c r="I22" s="34"/>
      <c r="J22" s="31"/>
      <c r="K22" s="34"/>
      <c r="L22" s="19"/>
      <c r="M22" s="30">
        <v>0.79166666666666696</v>
      </c>
      <c r="N22" s="56"/>
      <c r="O22" s="19"/>
      <c r="P22" s="19"/>
      <c r="Q22" s="19"/>
      <c r="R22" s="19"/>
    </row>
    <row r="23" spans="1:18" x14ac:dyDescent="0.25">
      <c r="A23" s="61"/>
      <c r="B23" s="63"/>
      <c r="C23" s="61"/>
      <c r="D23" s="37"/>
      <c r="E23" s="37"/>
      <c r="F23" s="31"/>
      <c r="G23" s="34"/>
      <c r="H23" s="31"/>
      <c r="I23" s="34"/>
      <c r="J23" s="31"/>
      <c r="K23" s="34"/>
      <c r="L23" s="19"/>
      <c r="M23" s="30">
        <v>0.83333333333333304</v>
      </c>
      <c r="N23" s="56"/>
      <c r="O23" s="19"/>
      <c r="P23" s="19"/>
      <c r="Q23" s="19"/>
      <c r="R23" s="19"/>
    </row>
    <row r="24" spans="1:18" x14ac:dyDescent="0.25">
      <c r="A24" s="61"/>
      <c r="B24" s="63"/>
      <c r="C24" s="61"/>
      <c r="D24" s="37"/>
      <c r="E24" s="37"/>
      <c r="F24" s="31"/>
      <c r="G24" s="34"/>
      <c r="H24" s="31"/>
      <c r="I24" s="34"/>
      <c r="J24" s="31"/>
      <c r="K24" s="34"/>
      <c r="L24" s="19"/>
      <c r="M24" s="30">
        <v>0.875</v>
      </c>
      <c r="N24" s="56"/>
      <c r="O24" s="19"/>
      <c r="P24" s="19"/>
      <c r="Q24" s="19"/>
      <c r="R24" s="19"/>
    </row>
    <row r="25" spans="1:18" x14ac:dyDescent="0.25">
      <c r="A25" s="61"/>
      <c r="B25" s="63"/>
      <c r="C25" s="61"/>
      <c r="D25" s="37"/>
      <c r="E25" s="37"/>
      <c r="F25" s="31"/>
      <c r="G25" s="34"/>
      <c r="H25" s="31"/>
      <c r="I25" s="34"/>
      <c r="J25" s="31"/>
      <c r="K25" s="34"/>
      <c r="L25" s="19"/>
      <c r="M25" s="30">
        <v>0.91666666666666696</v>
      </c>
      <c r="N25" s="56"/>
      <c r="O25" s="19"/>
      <c r="P25" s="19"/>
      <c r="Q25" s="19"/>
      <c r="R25" s="19"/>
    </row>
    <row r="26" spans="1:18" x14ac:dyDescent="0.25">
      <c r="A26" s="61"/>
      <c r="B26" s="63"/>
      <c r="C26" s="61"/>
      <c r="D26" s="37"/>
      <c r="E26" s="37"/>
      <c r="F26" s="31"/>
      <c r="G26" s="34"/>
      <c r="H26" s="31"/>
      <c r="I26" s="34"/>
      <c r="J26" s="31"/>
      <c r="K26" s="34"/>
      <c r="L26" s="19"/>
      <c r="M26" s="30">
        <v>0.95833333333333304</v>
      </c>
      <c r="N26" s="56" t="s">
        <v>65</v>
      </c>
      <c r="O26" s="19"/>
      <c r="P26" s="19"/>
      <c r="Q26" s="19"/>
      <c r="R26" s="19"/>
    </row>
    <row r="27" spans="1:18" x14ac:dyDescent="0.25">
      <c r="L27" s="19"/>
      <c r="M27" s="30"/>
      <c r="N27" s="56"/>
      <c r="O27" s="19"/>
      <c r="P27" s="19"/>
      <c r="Q27" s="19"/>
      <c r="R27" s="19"/>
    </row>
    <row r="28" spans="1:18" x14ac:dyDescent="0.25">
      <c r="L28" s="19"/>
      <c r="M28" s="30"/>
      <c r="N28" s="56"/>
      <c r="O28" s="19"/>
      <c r="P28" s="19"/>
      <c r="Q28" s="19"/>
      <c r="R28" s="19"/>
    </row>
    <row r="29" spans="1:18" x14ac:dyDescent="0.25">
      <c r="A29" s="62"/>
      <c r="B29" s="62"/>
      <c r="C29" s="62"/>
      <c r="D29" s="40"/>
      <c r="E29" s="39"/>
      <c r="F29" s="31"/>
      <c r="G29" s="31"/>
      <c r="H29" s="31"/>
      <c r="I29" s="31"/>
      <c r="J29" s="31"/>
      <c r="K29" s="31"/>
      <c r="L29" s="19"/>
      <c r="M29" s="30"/>
      <c r="N29" s="56"/>
      <c r="O29" s="19"/>
      <c r="P29" s="19"/>
      <c r="Q29" s="19"/>
      <c r="R29" s="19"/>
    </row>
    <row r="30" spans="1:18" x14ac:dyDescent="0.25">
      <c r="A30" s="62"/>
      <c r="B30" s="62"/>
      <c r="C30" s="62"/>
      <c r="D30" s="40"/>
      <c r="E30" s="39"/>
      <c r="F30" s="31"/>
      <c r="G30" s="31"/>
      <c r="H30" s="31"/>
      <c r="I30" s="31"/>
      <c r="J30" s="31"/>
      <c r="K30" s="31"/>
      <c r="L30" s="19"/>
      <c r="M30" s="19"/>
      <c r="N30" s="56"/>
      <c r="O30" s="19"/>
      <c r="P30" s="19"/>
      <c r="Q30" s="19"/>
      <c r="R30" s="19"/>
    </row>
    <row r="31" spans="1:18" x14ac:dyDescent="0.25">
      <c r="A31" s="62"/>
      <c r="B31" s="62"/>
      <c r="C31" s="62"/>
      <c r="D31" s="31"/>
      <c r="E31" s="41"/>
      <c r="F31" s="41"/>
      <c r="G31" s="41"/>
      <c r="H31" s="41"/>
      <c r="I31" s="31"/>
      <c r="J31" s="31"/>
      <c r="K31" s="31"/>
      <c r="L31" s="19"/>
      <c r="M31" s="19"/>
      <c r="N31" s="19"/>
      <c r="O31" s="19"/>
      <c r="P31" s="19"/>
      <c r="Q31" s="19"/>
      <c r="R31" s="19"/>
    </row>
    <row r="32" spans="1:18" x14ac:dyDescent="0.25">
      <c r="A32" s="62"/>
      <c r="B32" s="62"/>
      <c r="C32" s="62"/>
      <c r="D32" s="31"/>
      <c r="E32" s="70"/>
      <c r="F32" s="70"/>
      <c r="G32" s="70"/>
      <c r="H32" s="70"/>
      <c r="I32" s="31"/>
      <c r="J32" s="31"/>
      <c r="K32" s="31"/>
      <c r="L32" s="19"/>
      <c r="M32" s="19"/>
      <c r="N32" s="19"/>
      <c r="O32" s="19"/>
      <c r="P32" s="19"/>
      <c r="Q32" s="19"/>
      <c r="R32" s="19"/>
    </row>
    <row r="33" spans="1:23" x14ac:dyDescent="0.25">
      <c r="A33" s="31"/>
      <c r="B33" s="31"/>
      <c r="C33" s="31"/>
      <c r="I33" s="31"/>
      <c r="J33" s="31"/>
      <c r="K33" s="31"/>
      <c r="L33" s="19"/>
      <c r="M33" s="19"/>
      <c r="N33" s="19"/>
      <c r="O33" s="19"/>
      <c r="P33" s="19"/>
      <c r="Q33" s="19"/>
      <c r="R33" s="19"/>
    </row>
    <row r="34" spans="1:23" x14ac:dyDescent="0.25">
      <c r="A34" s="31"/>
      <c r="B34" s="31"/>
      <c r="C34" s="31"/>
      <c r="I34" s="31"/>
      <c r="J34" s="31"/>
      <c r="K34" s="31"/>
      <c r="L34" s="19"/>
      <c r="M34" s="19"/>
      <c r="N34" s="19"/>
      <c r="O34" s="19"/>
      <c r="P34" s="19"/>
      <c r="Q34" s="19"/>
      <c r="R34" s="19"/>
    </row>
    <row r="35" spans="1:23" x14ac:dyDescent="0.25">
      <c r="L35" s="19"/>
      <c r="M35" s="19"/>
      <c r="N35" s="19"/>
      <c r="O35" s="19"/>
      <c r="P35" s="19"/>
      <c r="Q35" s="19"/>
      <c r="R35" s="19"/>
    </row>
    <row r="36" spans="1:23" x14ac:dyDescent="0.25">
      <c r="L36" s="19"/>
      <c r="M36" s="19"/>
      <c r="N36" s="19"/>
      <c r="O36" s="19"/>
      <c r="P36" s="19"/>
      <c r="Q36" s="19"/>
      <c r="R36" s="19"/>
    </row>
    <row r="37" spans="1:23" x14ac:dyDescent="0.25">
      <c r="L37" s="54"/>
      <c r="M37" s="54"/>
      <c r="N37" s="54"/>
      <c r="O37" s="54"/>
    </row>
    <row r="38" spans="1:23" x14ac:dyDescent="0.25">
      <c r="L38" s="54"/>
      <c r="M38" s="54"/>
      <c r="N38" s="54"/>
      <c r="O38" s="54"/>
    </row>
    <row r="41" spans="1:23" x14ac:dyDescent="0.25">
      <c r="M41" s="62"/>
      <c r="N41" s="62"/>
      <c r="O41" s="62"/>
      <c r="P41" s="38"/>
      <c r="Q41" s="39"/>
      <c r="R41" s="31"/>
      <c r="S41" s="31"/>
      <c r="T41" s="31"/>
      <c r="U41" s="31"/>
      <c r="V41" s="31"/>
      <c r="W41" s="31"/>
    </row>
    <row r="42" spans="1:23" x14ac:dyDescent="0.25">
      <c r="M42" s="62"/>
      <c r="N42" s="62"/>
      <c r="O42" s="62"/>
      <c r="P42" s="40"/>
      <c r="Q42" s="39"/>
      <c r="R42" s="31"/>
      <c r="S42" s="31"/>
      <c r="T42" s="31"/>
      <c r="U42" s="31"/>
      <c r="V42" s="31"/>
      <c r="W42" s="31"/>
    </row>
    <row r="43" spans="1:23" x14ac:dyDescent="0.25">
      <c r="M43" s="67"/>
      <c r="N43" s="67"/>
      <c r="O43" s="67"/>
      <c r="P43" s="67"/>
      <c r="Q43" s="67"/>
      <c r="R43" s="67"/>
      <c r="S43" s="67"/>
      <c r="T43" s="67"/>
      <c r="U43" s="67"/>
      <c r="V43" s="67"/>
    </row>
    <row r="44" spans="1:23" x14ac:dyDescent="0.25">
      <c r="M44" s="67"/>
      <c r="N44" s="67"/>
      <c r="O44" s="67"/>
      <c r="P44" s="67"/>
      <c r="Q44" s="67"/>
      <c r="R44" s="67"/>
      <c r="S44" s="67"/>
      <c r="T44" s="67"/>
      <c r="U44" s="67"/>
      <c r="V44" s="67"/>
    </row>
  </sheetData>
  <mergeCells count="10">
    <mergeCell ref="M43:V43"/>
    <mergeCell ref="M44:V44"/>
    <mergeCell ref="A2:K2"/>
    <mergeCell ref="A3:K3"/>
    <mergeCell ref="E32:H32"/>
    <mergeCell ref="D10:E10"/>
    <mergeCell ref="B6:C6"/>
    <mergeCell ref="B8:C8"/>
    <mergeCell ref="B7:C7"/>
    <mergeCell ref="G10:H10"/>
  </mergeCells>
  <dataValidations count="5">
    <dataValidation type="list" allowBlank="1" showInputMessage="1" showErrorMessage="1" sqref="I11:I26" xr:uid="{758B5D9F-56EF-4576-A93E-54606C7808B8}">
      <formula1>$M$6:$M$8</formula1>
    </dataValidation>
    <dataValidation type="list" allowBlank="1" showInputMessage="1" showErrorMessage="1" sqref="D11:E26" xr:uid="{E58D818F-FE11-4BD5-A6C4-DC9002B260D8}">
      <formula1>$M$9:$M$26</formula1>
    </dataValidation>
    <dataValidation type="list" allowBlank="1" showInputMessage="1" showErrorMessage="1" sqref="K11:K26" xr:uid="{F28D8DF7-FC81-4ECE-B6EA-91889794005B}">
      <formula1>$N$8:$N$19</formula1>
    </dataValidation>
    <dataValidation type="list" allowBlank="1" showInputMessage="1" showErrorMessage="1" sqref="G11:G26" xr:uid="{F5789B48-7452-4B12-8842-FCEBE43A84D4}">
      <formula1>$M$1:$M$4</formula1>
    </dataValidation>
    <dataValidation type="list" allowBlank="1" showInputMessage="1" showErrorMessage="1" sqref="P41" xr:uid="{E9D2C949-63F6-4FBA-A54A-6D63469CED08}">
      <formula1>$M$10:$M$26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 calculos</vt:lpstr>
      <vt:lpstr>Reporte impresion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Emilio</dc:creator>
  <cp:lastModifiedBy>Emilio</cp:lastModifiedBy>
  <cp:lastPrinted>2021-08-20T15:58:23Z</cp:lastPrinted>
  <dcterms:created xsi:type="dcterms:W3CDTF">2021-08-17T17:08:19Z</dcterms:created>
  <dcterms:modified xsi:type="dcterms:W3CDTF">2022-01-08T07:18:32Z</dcterms:modified>
</cp:coreProperties>
</file>